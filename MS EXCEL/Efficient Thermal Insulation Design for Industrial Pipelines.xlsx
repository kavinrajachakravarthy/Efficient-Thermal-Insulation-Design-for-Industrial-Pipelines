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C\Downloads\"/>
    </mc:Choice>
  </mc:AlternateContent>
  <xr:revisionPtr revIDLastSave="0" documentId="8_{6D64FB0C-D890-46A1-B004-30AEEBF7B606}" xr6:coauthVersionLast="47" xr6:coauthVersionMax="47" xr10:uidLastSave="{00000000-0000-0000-0000-000000000000}"/>
  <bookViews>
    <workbookView xWindow="-120" yWindow="-120" windowWidth="20730" windowHeight="11160" xr2:uid="{B6E92C31-BFFF-4AB3-9737-D75604194041}"/>
  </bookViews>
  <sheets>
    <sheet name="Sheet1" sheetId="1" r:id="rId1"/>
  </sheets>
  <definedNames>
    <definedName name="solver_adj" localSheetId="0" hidden="1">Sheet1!$E$28:$E$37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Sheet1!$E$28:$E$37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Sheet1!$I$50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hs1" localSheetId="0" hidden="1">Sheet1!$F$4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1" l="1"/>
  <c r="D59" i="1"/>
  <c r="D60" i="1"/>
  <c r="D61" i="1"/>
  <c r="D62" i="1"/>
  <c r="D63" i="1"/>
  <c r="D64" i="1"/>
  <c r="D65" i="1"/>
  <c r="D66" i="1"/>
  <c r="D57" i="1"/>
  <c r="H58" i="1"/>
  <c r="H59" i="1"/>
  <c r="H60" i="1"/>
  <c r="H61" i="1"/>
  <c r="H62" i="1"/>
  <c r="H63" i="1"/>
  <c r="H64" i="1"/>
  <c r="H65" i="1"/>
  <c r="H66" i="1"/>
  <c r="H57" i="1"/>
  <c r="I50" i="1"/>
  <c r="G58" i="1"/>
  <c r="G59" i="1"/>
  <c r="G60" i="1"/>
  <c r="G61" i="1"/>
  <c r="G62" i="1"/>
  <c r="G63" i="1"/>
  <c r="G64" i="1"/>
  <c r="G65" i="1"/>
  <c r="G66" i="1"/>
  <c r="G57" i="1"/>
  <c r="F50" i="1"/>
  <c r="F58" i="1"/>
  <c r="F59" i="1"/>
  <c r="F60" i="1"/>
  <c r="F61" i="1"/>
  <c r="F62" i="1"/>
  <c r="F63" i="1"/>
  <c r="F64" i="1"/>
  <c r="F65" i="1"/>
  <c r="F66" i="1"/>
  <c r="F57" i="1"/>
  <c r="I44" i="1"/>
  <c r="E58" i="1"/>
  <c r="E59" i="1"/>
  <c r="E60" i="1"/>
  <c r="E61" i="1"/>
  <c r="E62" i="1"/>
  <c r="E63" i="1"/>
  <c r="E64" i="1"/>
  <c r="E65" i="1"/>
  <c r="E66" i="1"/>
  <c r="E57" i="1"/>
  <c r="F44" i="1"/>
  <c r="H29" i="1"/>
  <c r="H30" i="1"/>
  <c r="H31" i="1"/>
  <c r="H32" i="1"/>
  <c r="H33" i="1"/>
  <c r="H34" i="1"/>
  <c r="H35" i="1"/>
  <c r="H36" i="1"/>
  <c r="H37" i="1"/>
  <c r="H28" i="1"/>
  <c r="F19" i="1"/>
  <c r="J19" i="1" s="1"/>
</calcChain>
</file>

<file path=xl/sharedStrings.xml><?xml version="1.0" encoding="utf-8"?>
<sst xmlns="http://schemas.openxmlformats.org/spreadsheetml/2006/main" count="53" uniqueCount="44">
  <si>
    <t>Parameter</t>
  </si>
  <si>
    <t>Value</t>
  </si>
  <si>
    <t>Unit</t>
  </si>
  <si>
    <t>Pipe outer radius (r₁)</t>
  </si>
  <si>
    <t>m</t>
  </si>
  <si>
    <t>Insulation outer radius (r₂)</t>
  </si>
  <si>
    <t>Pipe length (L)</t>
  </si>
  <si>
    <t>Thermal conductivity (k)</t>
  </si>
  <si>
    <t>W/m·K</t>
  </si>
  <si>
    <t>Fluid temperature (T_f)</t>
  </si>
  <si>
    <t>°C</t>
  </si>
  <si>
    <t>Ambient temperature (T_a)</t>
  </si>
  <si>
    <t>Insulation cost</t>
  </si>
  <si>
    <t>₹/m³</t>
  </si>
  <si>
    <t>Energy cost</t>
  </si>
  <si>
    <t>₹/kWh</t>
  </si>
  <si>
    <t>Operating hours</t>
  </si>
  <si>
    <t>h/year</t>
  </si>
  <si>
    <t>Heat Transfer Calculation</t>
  </si>
  <si>
    <t>Thermal Resistance (Radial Conduction)</t>
  </si>
  <si>
    <t>Heat Loss from Insulated Pipe</t>
  </si>
  <si>
    <t>Q</t>
  </si>
  <si>
    <t>Minimizing Heat Loss</t>
  </si>
  <si>
    <t>r₂</t>
  </si>
  <si>
    <t>Heat Loss for Each r₂</t>
  </si>
  <si>
    <t>Insulation Cost Analysis</t>
  </si>
  <si>
    <t>Insulation Volume</t>
  </si>
  <si>
    <t>V</t>
  </si>
  <si>
    <t>Insulation Material Cost</t>
  </si>
  <si>
    <t>Energy Loss Cost</t>
  </si>
  <si>
    <t>Annual Energy Cost</t>
  </si>
  <si>
    <t>Energy Cost</t>
  </si>
  <si>
    <t>Total_Cost</t>
  </si>
  <si>
    <t>Heat Loss vs Insulation Radius (r₂)</t>
  </si>
  <si>
    <t>Sum</t>
  </si>
  <si>
    <t>Average</t>
  </si>
  <si>
    <t>Running Total</t>
  </si>
  <si>
    <t>Count</t>
  </si>
  <si>
    <t>Total Cost vs Insulation Radius (r₂)</t>
  </si>
  <si>
    <t>Heat Loss and Cost Variation with Insulation Thickness</t>
  </si>
  <si>
    <r>
      <t>R</t>
    </r>
    <r>
      <rPr>
        <b/>
        <vertAlign val="subscript"/>
        <sz val="12"/>
        <color theme="1"/>
        <rFont val="Arial"/>
        <family val="2"/>
      </rPr>
      <t>cond​</t>
    </r>
  </si>
  <si>
    <t>Insulation Cost</t>
  </si>
  <si>
    <t>Trial Values of r₂</t>
  </si>
  <si>
    <t xml:space="preserve"> For Trail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</si>
</sst>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sz val="15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4" borderId="13" xfId="0" applyFont="1" applyFill="1" applyBorder="1"/>
    <xf numFmtId="0" fontId="2" fillId="4" borderId="14" xfId="0" applyFont="1" applyFill="1" applyBorder="1" applyAlignment="1">
      <alignment vertical="center" wrapText="1"/>
    </xf>
    <xf numFmtId="0" fontId="2" fillId="4" borderId="14" xfId="0" applyFont="1" applyFill="1" applyBorder="1"/>
    <xf numFmtId="0" fontId="2" fillId="4" borderId="15" xfId="0" applyFont="1" applyFill="1" applyBorder="1"/>
    <xf numFmtId="0" fontId="2" fillId="4" borderId="17" xfId="0" applyFont="1" applyFill="1" applyBorder="1" applyAlignment="1">
      <alignment vertical="center" wrapText="1"/>
    </xf>
    <xf numFmtId="0" fontId="2" fillId="5" borderId="9" xfId="0" applyFont="1" applyFill="1" applyBorder="1"/>
    <xf numFmtId="0" fontId="2" fillId="5" borderId="9" xfId="0" applyFont="1" applyFill="1" applyBorder="1" applyAlignment="1">
      <alignment vertical="center" wrapText="1"/>
    </xf>
    <xf numFmtId="0" fontId="2" fillId="5" borderId="16" xfId="0" applyFont="1" applyFill="1" applyBorder="1"/>
    <xf numFmtId="0" fontId="5" fillId="3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6" fillId="6" borderId="18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2" fillId="8" borderId="0" xfId="0" applyFont="1" applyFill="1" applyBorder="1"/>
    <xf numFmtId="0" fontId="2" fillId="8" borderId="7" xfId="0" applyFont="1" applyFill="1" applyBorder="1"/>
    <xf numFmtId="0" fontId="4" fillId="7" borderId="4" xfId="0" applyFont="1" applyFill="1" applyBorder="1"/>
    <xf numFmtId="0" fontId="3" fillId="7" borderId="4" xfId="0" applyFont="1" applyFill="1" applyBorder="1"/>
    <xf numFmtId="0" fontId="3" fillId="7" borderId="0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2" fillId="5" borderId="4" xfId="0" applyFont="1" applyFill="1" applyBorder="1"/>
    <xf numFmtId="0" fontId="2" fillId="5" borderId="6" xfId="0" applyFont="1" applyFill="1" applyBorder="1"/>
    <xf numFmtId="0" fontId="6" fillId="9" borderId="0" xfId="0" applyFont="1" applyFill="1" applyBorder="1" applyAlignment="1"/>
    <xf numFmtId="0" fontId="4" fillId="7" borderId="4" xfId="0" applyFont="1" applyFill="1" applyBorder="1" applyAlignment="1"/>
    <xf numFmtId="0" fontId="4" fillId="7" borderId="5" xfId="0" applyFont="1" applyFill="1" applyBorder="1" applyAlignment="1"/>
    <xf numFmtId="0" fontId="2" fillId="9" borderId="0" xfId="0" applyFont="1" applyFill="1" applyBorder="1"/>
    <xf numFmtId="0" fontId="3" fillId="7" borderId="18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2" fillId="8" borderId="9" xfId="0" applyFont="1" applyFill="1" applyBorder="1"/>
    <xf numFmtId="0" fontId="2" fillId="8" borderId="14" xfId="0" applyFont="1" applyFill="1" applyBorder="1"/>
    <xf numFmtId="0" fontId="2" fillId="8" borderId="16" xfId="0" applyFont="1" applyFill="1" applyBorder="1"/>
    <xf numFmtId="0" fontId="2" fillId="8" borderId="17" xfId="0" applyFont="1" applyFill="1" applyBorder="1"/>
    <xf numFmtId="0" fontId="2" fillId="8" borderId="13" xfId="0" applyFont="1" applyFill="1" applyBorder="1"/>
    <xf numFmtId="0" fontId="2" fillId="8" borderId="15" xfId="0" applyFont="1" applyFill="1" applyBorder="1"/>
    <xf numFmtId="0" fontId="2" fillId="8" borderId="22" xfId="0" applyFont="1" applyFill="1" applyBorder="1"/>
    <xf numFmtId="0" fontId="2" fillId="8" borderId="21" xfId="0" applyFont="1" applyFill="1" applyBorder="1"/>
    <xf numFmtId="0" fontId="2" fillId="8" borderId="23" xfId="0" applyFont="1" applyFill="1" applyBorder="1"/>
    <xf numFmtId="0" fontId="4" fillId="7" borderId="18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Q vs </a:t>
            </a:r>
            <a:r>
              <a:rPr lang="en-IN" sz="1400" b="1" i="0" u="none" strike="noStrike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r₂ 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solidFill>
          <a:schemeClr val="accent4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Sheet1!$G$27</c:f>
              <c:strCache>
                <c:ptCount val="1"/>
                <c:pt idx="0">
                  <c:v>Q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Sheet1!$E$28:$E$37</c:f>
              <c:numCache>
                <c:formatCode>General</c:formatCode>
                <c:ptCount val="10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</c:v>
                </c:pt>
              </c:numCache>
            </c:numRef>
          </c:cat>
          <c:val>
            <c:numRef>
              <c:f>Sheet1!$H$28:$H$37</c:f>
              <c:numCache>
                <c:formatCode>General</c:formatCode>
                <c:ptCount val="10"/>
                <c:pt idx="0">
                  <c:v>263.50147971966516</c:v>
                </c:pt>
                <c:pt idx="1">
                  <c:v>183.11182773884505</c:v>
                </c:pt>
                <c:pt idx="2">
                  <c:v>142.78146833874965</c:v>
                </c:pt>
                <c:pt idx="3">
                  <c:v>118.48615093948858</c:v>
                </c:pt>
                <c:pt idx="4">
                  <c:v>102.21623198335315</c:v>
                </c:pt>
                <c:pt idx="5">
                  <c:v>90.537961188144934</c:v>
                </c:pt>
                <c:pt idx="6">
                  <c:v>81.733735841047348</c:v>
                </c:pt>
                <c:pt idx="7">
                  <c:v>74.848810663890674</c:v>
                </c:pt>
                <c:pt idx="8">
                  <c:v>69.309955154387595</c:v>
                </c:pt>
                <c:pt idx="9">
                  <c:v>64.752098463952365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A2-43AA-A08F-4D654BC06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863232"/>
        <c:axId val="5598635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Sheet1!$F$27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Sheet1!$E$28:$E$37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0.06</c:v>
                      </c:pt>
                      <c:pt idx="1">
                        <c:v>6.5000000000000002E-2</c:v>
                      </c:pt>
                      <c:pt idx="2">
                        <c:v>7.0000000000000007E-2</c:v>
                      </c:pt>
                      <c:pt idx="3">
                        <c:v>7.4999999999999997E-2</c:v>
                      </c:pt>
                      <c:pt idx="4">
                        <c:v>0.08</c:v>
                      </c:pt>
                      <c:pt idx="5">
                        <c:v>8.5000000000000006E-2</c:v>
                      </c:pt>
                      <c:pt idx="6">
                        <c:v>0.09</c:v>
                      </c:pt>
                      <c:pt idx="7">
                        <c:v>9.5000000000000001E-2</c:v>
                      </c:pt>
                      <c:pt idx="8">
                        <c:v>0.1</c:v>
                      </c:pt>
                      <c:pt idx="9">
                        <c:v>0.105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Sheet1!$F$28:$F$37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1A2-43AA-A08F-4D654BC0631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Sheet1!$E$28:$E$37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0.06</c:v>
                      </c:pt>
                      <c:pt idx="1">
                        <c:v>6.5000000000000002E-2</c:v>
                      </c:pt>
                      <c:pt idx="2">
                        <c:v>7.0000000000000007E-2</c:v>
                      </c:pt>
                      <c:pt idx="3">
                        <c:v>7.4999999999999997E-2</c:v>
                      </c:pt>
                      <c:pt idx="4">
                        <c:v>0.08</c:v>
                      </c:pt>
                      <c:pt idx="5">
                        <c:v>8.5000000000000006E-2</c:v>
                      </c:pt>
                      <c:pt idx="6">
                        <c:v>0.09</c:v>
                      </c:pt>
                      <c:pt idx="7">
                        <c:v>9.5000000000000001E-2</c:v>
                      </c:pt>
                      <c:pt idx="8">
                        <c:v>0.1</c:v>
                      </c:pt>
                      <c:pt idx="9">
                        <c:v>0.105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Sheet1!$G$28:$G$37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1A2-43AA-A08F-4D654BC0631A}"/>
                  </c:ext>
                </c:extLst>
              </c15:ser>
            </c15:filteredLineSeries>
          </c:ext>
        </c:extLst>
      </c:lineChart>
      <c:catAx>
        <c:axId val="55986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r₂</a:t>
                </a:r>
              </a:p>
            </c:rich>
          </c:tx>
          <c:overlay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63592"/>
        <c:crosses val="autoZero"/>
        <c:auto val="1"/>
        <c:lblAlgn val="ctr"/>
        <c:lblOffset val="100"/>
        <c:noMultiLvlLbl val="0"/>
      </c:catAx>
      <c:valAx>
        <c:axId val="55986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Q</a:t>
                </a:r>
              </a:p>
            </c:rich>
          </c:tx>
          <c:overlay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6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vs Insulation Radius (r₂)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Sheet1!$H$56</c:f>
              <c:strCache>
                <c:ptCount val="1"/>
                <c:pt idx="0">
                  <c:v>Total_Cost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Sheet1!$D$57:$D$66</c:f>
              <c:numCache>
                <c:formatCode>General</c:formatCode>
                <c:ptCount val="10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</c:v>
                </c:pt>
              </c:numCache>
            </c:numRef>
          </c:cat>
          <c:val>
            <c:numRef>
              <c:f>Sheet1!$H$57:$H$66</c:f>
              <c:numCache>
                <c:formatCode>General</c:formatCode>
                <c:ptCount val="10"/>
                <c:pt idx="0">
                  <c:v>12648098.658543926</c:v>
                </c:pt>
                <c:pt idx="1">
                  <c:v>8789411.0634645633</c:v>
                </c:pt>
                <c:pt idx="2">
                  <c:v>6853570.7682599826</c:v>
                </c:pt>
                <c:pt idx="3">
                  <c:v>5687413.7450954523</c:v>
                </c:pt>
                <c:pt idx="4">
                  <c:v>4906477.1032009516</c:v>
                </c:pt>
                <c:pt idx="5">
                  <c:v>4345940.8290309571</c:v>
                </c:pt>
                <c:pt idx="6">
                  <c:v>3923359.9923702725</c:v>
                </c:pt>
                <c:pt idx="7">
                  <c:v>3592906.8198667523</c:v>
                </c:pt>
                <c:pt idx="8">
                  <c:v>3327066.2474106047</c:v>
                </c:pt>
                <c:pt idx="9">
                  <c:v>3108314.8742697136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47-43E8-BA06-EBB85895B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21896"/>
        <c:axId val="562623696"/>
      </c:lineChart>
      <c:catAx>
        <c:axId val="562621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Insulation Radius (r₂)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623696"/>
        <c:crosses val="autoZero"/>
        <c:auto val="1"/>
        <c:lblAlgn val="ctr"/>
        <c:lblOffset val="100"/>
        <c:noMultiLvlLbl val="0"/>
      </c:catAx>
      <c:valAx>
        <c:axId val="5626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Cost 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62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25</xdr:row>
      <xdr:rowOff>14286</xdr:rowOff>
    </xdr:from>
    <xdr:to>
      <xdr:col>19</xdr:col>
      <xdr:colOff>581025</xdr:colOff>
      <xdr:row>39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C0234-0490-D45C-E957-4E6F68874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338666</xdr:colOff>
      <xdr:row>51</xdr:row>
      <xdr:rowOff>131234</xdr:rowOff>
    </xdr:from>
    <xdr:to>
      <xdr:col>20</xdr:col>
      <xdr:colOff>0</xdr:colOff>
      <xdr:row>65</xdr:row>
      <xdr:rowOff>143934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5B77BDD-E893-860B-4314-0B7DCD4AC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76B16B-C7EB-4440-AFD7-545239DC3150}">
  <we:reference id="wa104380050" version="3.6.0.0" store="en-US" storeType="OMEX"/>
  <we:alternateReferences>
    <we:reference id="WA104380050" version="3.6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9A94-F436-4B92-9516-F12823EA00C6}">
  <sheetPr>
    <pageSetUpPr fitToPage="1"/>
  </sheetPr>
  <dimension ref="D1:T68"/>
  <sheetViews>
    <sheetView tabSelected="1" topLeftCell="A48" zoomScale="90" zoomScaleNormal="90" workbookViewId="0">
      <selection activeCell="D54" sqref="D54:H54"/>
    </sheetView>
  </sheetViews>
  <sheetFormatPr defaultRowHeight="14.25" x14ac:dyDescent="0.2"/>
  <cols>
    <col min="1" max="4" width="9.140625" style="2"/>
    <col min="5" max="5" width="27.28515625" style="2" customWidth="1"/>
    <col min="6" max="6" width="16.85546875" style="2" customWidth="1"/>
    <col min="7" max="7" width="13.5703125" style="2" customWidth="1"/>
    <col min="8" max="8" width="16.42578125" style="2" customWidth="1"/>
    <col min="9" max="16384" width="9.140625" style="2"/>
  </cols>
  <sheetData>
    <row r="1" spans="5:18" ht="15" customHeight="1" x14ac:dyDescent="0.2">
      <c r="H1" s="1" t="s">
        <v>39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5:18" ht="30" customHeight="1" thickBot="1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5:18" ht="18" x14ac:dyDescent="0.25">
      <c r="E3" s="11" t="s">
        <v>0</v>
      </c>
      <c r="F3" s="12" t="s">
        <v>1</v>
      </c>
      <c r="G3" s="13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5:18" x14ac:dyDescent="0.2">
      <c r="E4" s="3" t="s">
        <v>3</v>
      </c>
      <c r="F4" s="8">
        <v>0.05</v>
      </c>
      <c r="G4" s="4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5:18" x14ac:dyDescent="0.2">
      <c r="E5" s="3" t="s">
        <v>5</v>
      </c>
      <c r="F5" s="8">
        <v>0.08</v>
      </c>
      <c r="G5" s="4" t="s">
        <v>4</v>
      </c>
    </row>
    <row r="6" spans="5:18" x14ac:dyDescent="0.2">
      <c r="E6" s="3" t="s">
        <v>6</v>
      </c>
      <c r="F6" s="8">
        <v>1</v>
      </c>
      <c r="G6" s="5" t="s">
        <v>4</v>
      </c>
    </row>
    <row r="7" spans="5:18" x14ac:dyDescent="0.2">
      <c r="E7" s="3" t="s">
        <v>7</v>
      </c>
      <c r="F7" s="8">
        <v>4.4999999999999998E-2</v>
      </c>
      <c r="G7" s="5" t="s">
        <v>8</v>
      </c>
    </row>
    <row r="8" spans="5:18" x14ac:dyDescent="0.2">
      <c r="E8" s="3" t="s">
        <v>9</v>
      </c>
      <c r="F8" s="8">
        <v>200</v>
      </c>
      <c r="G8" s="5" t="s">
        <v>10</v>
      </c>
    </row>
    <row r="9" spans="5:18" x14ac:dyDescent="0.2">
      <c r="E9" s="3" t="s">
        <v>11</v>
      </c>
      <c r="F9" s="8">
        <v>30</v>
      </c>
      <c r="G9" s="5" t="s">
        <v>10</v>
      </c>
    </row>
    <row r="10" spans="5:18" x14ac:dyDescent="0.2">
      <c r="E10" s="3" t="s">
        <v>12</v>
      </c>
      <c r="F10" s="9">
        <v>8000</v>
      </c>
      <c r="G10" s="5" t="s">
        <v>13</v>
      </c>
    </row>
    <row r="11" spans="5:18" x14ac:dyDescent="0.2">
      <c r="E11" s="3" t="s">
        <v>14</v>
      </c>
      <c r="F11" s="8">
        <v>6</v>
      </c>
      <c r="G11" s="5" t="s">
        <v>15</v>
      </c>
    </row>
    <row r="12" spans="5:18" ht="15" thickBot="1" x14ac:dyDescent="0.25">
      <c r="E12" s="6" t="s">
        <v>16</v>
      </c>
      <c r="F12" s="10">
        <v>8000</v>
      </c>
      <c r="G12" s="7" t="s">
        <v>17</v>
      </c>
    </row>
    <row r="13" spans="5:18" x14ac:dyDescent="0.2">
      <c r="G13" s="14"/>
    </row>
    <row r="14" spans="5:18" ht="15" thickBot="1" x14ac:dyDescent="0.25"/>
    <row r="15" spans="5:18" ht="27" thickBot="1" x14ac:dyDescent="0.45">
      <c r="E15" s="22" t="s">
        <v>18</v>
      </c>
      <c r="F15" s="23"/>
      <c r="G15" s="23"/>
      <c r="H15" s="23"/>
      <c r="I15" s="23"/>
      <c r="J15" s="23"/>
      <c r="K15" s="23"/>
      <c r="L15" s="24"/>
    </row>
    <row r="16" spans="5:18" ht="15" thickBot="1" x14ac:dyDescent="0.25">
      <c r="E16" s="16"/>
      <c r="F16" s="17"/>
      <c r="G16" s="17"/>
      <c r="H16" s="17"/>
      <c r="I16" s="17"/>
      <c r="J16" s="17"/>
      <c r="K16" s="17"/>
      <c r="L16" s="18"/>
    </row>
    <row r="17" spans="5:20" ht="16.5" thickBot="1" x14ac:dyDescent="0.3">
      <c r="E17" s="25" t="s">
        <v>19</v>
      </c>
      <c r="F17" s="26"/>
      <c r="G17" s="26"/>
      <c r="H17" s="27"/>
      <c r="I17" s="28" t="s">
        <v>20</v>
      </c>
      <c r="J17" s="29"/>
      <c r="K17" s="29"/>
      <c r="L17" s="30"/>
    </row>
    <row r="18" spans="5:20" x14ac:dyDescent="0.2">
      <c r="E18" s="16"/>
      <c r="F18" s="17"/>
      <c r="G18" s="17"/>
      <c r="H18" s="18"/>
      <c r="I18" s="16"/>
      <c r="J18" s="17"/>
      <c r="K18" s="17"/>
      <c r="L18" s="18"/>
    </row>
    <row r="19" spans="5:20" ht="18.75" x14ac:dyDescent="0.35">
      <c r="E19" s="42" t="s">
        <v>40</v>
      </c>
      <c r="F19" s="40">
        <f>(LN(F5/F4)/(2*3.14*F7*F6))</f>
        <v>1.6631409385907128</v>
      </c>
      <c r="G19" s="17"/>
      <c r="H19" s="18"/>
      <c r="I19" s="42" t="s">
        <v>21</v>
      </c>
      <c r="J19" s="40">
        <f>((F8-F9)/F19)</f>
        <v>102.21623198335315</v>
      </c>
      <c r="K19" s="17"/>
      <c r="L19" s="18"/>
    </row>
    <row r="20" spans="5:20" ht="15" thickBot="1" x14ac:dyDescent="0.25">
      <c r="E20" s="19"/>
      <c r="F20" s="20"/>
      <c r="G20" s="20"/>
      <c r="H20" s="21"/>
      <c r="I20" s="19"/>
      <c r="J20" s="20"/>
      <c r="K20" s="20"/>
      <c r="L20" s="21"/>
    </row>
    <row r="22" spans="5:20" ht="15" thickBot="1" x14ac:dyDescent="0.25"/>
    <row r="23" spans="5:20" ht="27" thickBot="1" x14ac:dyDescent="0.45">
      <c r="E23" s="22" t="s">
        <v>22</v>
      </c>
      <c r="F23" s="23"/>
      <c r="G23" s="23"/>
      <c r="H23" s="23"/>
      <c r="I23" s="23"/>
      <c r="J23" s="24"/>
    </row>
    <row r="24" spans="5:20" ht="27" thickBot="1" x14ac:dyDescent="0.45">
      <c r="E24" s="16"/>
      <c r="F24" s="17"/>
      <c r="G24" s="17"/>
      <c r="H24" s="17"/>
      <c r="I24" s="17"/>
      <c r="J24" s="18"/>
      <c r="M24" s="15" t="s">
        <v>33</v>
      </c>
      <c r="N24" s="15"/>
      <c r="O24" s="15"/>
      <c r="P24" s="15"/>
      <c r="Q24" s="15"/>
      <c r="R24" s="15"/>
      <c r="S24" s="15"/>
      <c r="T24" s="15"/>
    </row>
    <row r="25" spans="5:20" ht="15.75" thickBot="1" x14ac:dyDescent="0.3">
      <c r="E25" s="34" t="s">
        <v>42</v>
      </c>
      <c r="F25" s="35"/>
      <c r="G25" s="34" t="s">
        <v>24</v>
      </c>
      <c r="H25" s="36"/>
      <c r="I25" s="36"/>
      <c r="J25" s="35"/>
    </row>
    <row r="26" spans="5:20" x14ac:dyDescent="0.2">
      <c r="E26" s="16"/>
      <c r="F26" s="18"/>
      <c r="G26" s="17"/>
      <c r="H26" s="17"/>
      <c r="I26" s="17"/>
      <c r="J26" s="18"/>
    </row>
    <row r="27" spans="5:20" ht="15" customHeight="1" x14ac:dyDescent="0.25">
      <c r="E27" s="56" t="s">
        <v>23</v>
      </c>
      <c r="F27" s="57"/>
      <c r="G27" s="37" t="s">
        <v>21</v>
      </c>
      <c r="H27" s="39"/>
      <c r="I27" s="39"/>
      <c r="J27" s="38"/>
    </row>
    <row r="28" spans="5:20" x14ac:dyDescent="0.2">
      <c r="E28" s="53">
        <v>0.06</v>
      </c>
      <c r="F28" s="18"/>
      <c r="G28" s="17"/>
      <c r="H28" s="40">
        <f>(($F$8-$F$9)/((LN(E28/$F$4))/(2*3.14*$F$7*$F$6)))</f>
        <v>263.50147971966516</v>
      </c>
      <c r="I28" s="17"/>
      <c r="J28" s="18"/>
    </row>
    <row r="29" spans="5:20" x14ac:dyDescent="0.2">
      <c r="E29" s="53">
        <v>6.5000000000000002E-2</v>
      </c>
      <c r="F29" s="18"/>
      <c r="G29" s="17"/>
      <c r="H29" s="40">
        <f t="shared" ref="H29:H37" si="0">(($F$8-$F$9)/((LN(E29/$F$4))/(2*3.14*$F$7*$F$6)))</f>
        <v>183.11182773884505</v>
      </c>
      <c r="I29" s="17"/>
      <c r="J29" s="18"/>
    </row>
    <row r="30" spans="5:20" x14ac:dyDescent="0.2">
      <c r="E30" s="53">
        <v>7.0000000000000007E-2</v>
      </c>
      <c r="F30" s="18"/>
      <c r="G30" s="17"/>
      <c r="H30" s="40">
        <f t="shared" si="0"/>
        <v>142.78146833874965</v>
      </c>
      <c r="I30" s="17"/>
      <c r="J30" s="18"/>
    </row>
    <row r="31" spans="5:20" x14ac:dyDescent="0.2">
      <c r="E31" s="53">
        <v>7.4999999999999997E-2</v>
      </c>
      <c r="F31" s="18"/>
      <c r="G31" s="17"/>
      <c r="H31" s="40">
        <f t="shared" si="0"/>
        <v>118.48615093948858</v>
      </c>
      <c r="I31" s="17"/>
      <c r="J31" s="18"/>
    </row>
    <row r="32" spans="5:20" x14ac:dyDescent="0.2">
      <c r="E32" s="53">
        <v>0.08</v>
      </c>
      <c r="F32" s="18"/>
      <c r="G32" s="17"/>
      <c r="H32" s="40">
        <f t="shared" si="0"/>
        <v>102.21623198335315</v>
      </c>
      <c r="I32" s="17"/>
      <c r="J32" s="18"/>
    </row>
    <row r="33" spans="5:10" x14ac:dyDescent="0.2">
      <c r="E33" s="53">
        <v>8.5000000000000006E-2</v>
      </c>
      <c r="F33" s="18"/>
      <c r="G33" s="17"/>
      <c r="H33" s="40">
        <f t="shared" si="0"/>
        <v>90.537961188144934</v>
      </c>
      <c r="I33" s="17"/>
      <c r="J33" s="18"/>
    </row>
    <row r="34" spans="5:10" x14ac:dyDescent="0.2">
      <c r="E34" s="53">
        <v>0.09</v>
      </c>
      <c r="F34" s="18"/>
      <c r="G34" s="17"/>
      <c r="H34" s="40">
        <f t="shared" si="0"/>
        <v>81.733735841047348</v>
      </c>
      <c r="I34" s="17"/>
      <c r="J34" s="18"/>
    </row>
    <row r="35" spans="5:10" x14ac:dyDescent="0.2">
      <c r="E35" s="53">
        <v>9.5000000000000001E-2</v>
      </c>
      <c r="F35" s="18"/>
      <c r="G35" s="17"/>
      <c r="H35" s="40">
        <f t="shared" si="0"/>
        <v>74.848810663890674</v>
      </c>
      <c r="I35" s="17"/>
      <c r="J35" s="18"/>
    </row>
    <row r="36" spans="5:10" x14ac:dyDescent="0.2">
      <c r="E36" s="53">
        <v>0.1</v>
      </c>
      <c r="F36" s="18"/>
      <c r="G36" s="17"/>
      <c r="H36" s="40">
        <f t="shared" si="0"/>
        <v>69.309955154387595</v>
      </c>
      <c r="I36" s="17"/>
      <c r="J36" s="18"/>
    </row>
    <row r="37" spans="5:10" ht="15" thickBot="1" x14ac:dyDescent="0.25">
      <c r="E37" s="54">
        <v>0.105</v>
      </c>
      <c r="F37" s="21"/>
      <c r="G37" s="20"/>
      <c r="H37" s="41">
        <f t="shared" si="0"/>
        <v>64.752098463952365</v>
      </c>
      <c r="I37" s="20"/>
      <c r="J37" s="21"/>
    </row>
    <row r="39" spans="5:10" ht="15" thickBot="1" x14ac:dyDescent="0.25"/>
    <row r="40" spans="5:10" ht="27" thickBot="1" x14ac:dyDescent="0.45">
      <c r="E40" s="22" t="s">
        <v>25</v>
      </c>
      <c r="F40" s="23"/>
      <c r="G40" s="23"/>
      <c r="H40" s="23"/>
      <c r="I40" s="23"/>
      <c r="J40" s="24"/>
    </row>
    <row r="41" spans="5:10" ht="15" thickBot="1" x14ac:dyDescent="0.25">
      <c r="E41" s="16"/>
      <c r="F41" s="17"/>
      <c r="G41" s="17"/>
      <c r="H41" s="17"/>
      <c r="I41" s="17"/>
      <c r="J41" s="18"/>
    </row>
    <row r="42" spans="5:10" ht="15.75" customHeight="1" thickBot="1" x14ac:dyDescent="0.3">
      <c r="E42" s="34" t="s">
        <v>26</v>
      </c>
      <c r="F42" s="36"/>
      <c r="G42" s="35"/>
      <c r="H42" s="34" t="s">
        <v>28</v>
      </c>
      <c r="I42" s="36"/>
      <c r="J42" s="35"/>
    </row>
    <row r="43" spans="5:10" x14ac:dyDescent="0.2">
      <c r="E43" s="16"/>
      <c r="F43" s="17"/>
      <c r="G43" s="17"/>
      <c r="H43" s="17"/>
      <c r="I43" s="17"/>
      <c r="J43" s="18"/>
    </row>
    <row r="44" spans="5:10" ht="15" x14ac:dyDescent="0.25">
      <c r="E44" s="43" t="s">
        <v>27</v>
      </c>
      <c r="F44" s="40">
        <f>(3.14*F6*((F5^2)-(F4^2)))</f>
        <v>1.2246E-2</v>
      </c>
      <c r="G44" s="17"/>
      <c r="H44" s="44" t="s">
        <v>41</v>
      </c>
      <c r="I44" s="40">
        <f>(F44*F10)</f>
        <v>97.968000000000004</v>
      </c>
      <c r="J44" s="18"/>
    </row>
    <row r="45" spans="5:10" ht="15" thickBot="1" x14ac:dyDescent="0.25">
      <c r="E45" s="19"/>
      <c r="F45" s="20"/>
      <c r="G45" s="20"/>
      <c r="H45" s="20"/>
      <c r="I45" s="20"/>
      <c r="J45" s="21"/>
    </row>
    <row r="46" spans="5:10" ht="15" customHeight="1" x14ac:dyDescent="0.2">
      <c r="E46" s="31" t="s">
        <v>29</v>
      </c>
      <c r="F46" s="32"/>
      <c r="G46" s="32"/>
      <c r="H46" s="32"/>
      <c r="I46" s="32"/>
      <c r="J46" s="33"/>
    </row>
    <row r="47" spans="5:10" ht="15" customHeight="1" thickBot="1" x14ac:dyDescent="0.25">
      <c r="E47" s="47"/>
      <c r="F47" s="48"/>
      <c r="G47" s="48"/>
      <c r="H47" s="48"/>
      <c r="I47" s="48"/>
      <c r="J47" s="49"/>
    </row>
    <row r="48" spans="5:10" ht="20.25" thickBot="1" x14ac:dyDescent="0.35">
      <c r="E48" s="50" t="s">
        <v>30</v>
      </c>
      <c r="F48" s="51"/>
      <c r="G48" s="51"/>
      <c r="H48" s="51"/>
      <c r="I48" s="51"/>
      <c r="J48" s="52"/>
    </row>
    <row r="49" spans="4:20" x14ac:dyDescent="0.2">
      <c r="E49" s="16"/>
      <c r="F49" s="17"/>
      <c r="G49" s="17"/>
      <c r="H49" s="17"/>
      <c r="I49" s="17"/>
      <c r="J49" s="18"/>
    </row>
    <row r="50" spans="4:20" ht="15" thickBot="1" x14ac:dyDescent="0.25">
      <c r="E50" s="45" t="s">
        <v>31</v>
      </c>
      <c r="F50" s="41">
        <f>(J19*F12*F11)</f>
        <v>4906379.1352009512</v>
      </c>
      <c r="G50" s="20"/>
      <c r="H50" s="46" t="s">
        <v>32</v>
      </c>
      <c r="I50" s="41">
        <f>F50+I44</f>
        <v>4906477.1032009516</v>
      </c>
      <c r="J50" s="21"/>
    </row>
    <row r="51" spans="4:20" ht="26.25" x14ac:dyDescent="0.4">
      <c r="N51" s="15" t="s">
        <v>38</v>
      </c>
      <c r="O51" s="15"/>
      <c r="P51" s="15"/>
      <c r="Q51" s="15"/>
      <c r="R51" s="15"/>
      <c r="S51" s="15"/>
      <c r="T51" s="15"/>
    </row>
    <row r="53" spans="4:20" ht="15" thickBot="1" x14ac:dyDescent="0.25"/>
    <row r="54" spans="4:20" ht="27" thickBot="1" x14ac:dyDescent="0.45">
      <c r="D54" s="22" t="s">
        <v>43</v>
      </c>
      <c r="E54" s="23"/>
      <c r="F54" s="23"/>
      <c r="G54" s="23"/>
      <c r="H54" s="24"/>
      <c r="I54" s="55"/>
      <c r="J54" s="55"/>
      <c r="K54" s="17"/>
    </row>
    <row r="55" spans="4:20" ht="15" thickBot="1" x14ac:dyDescent="0.25">
      <c r="D55" s="19"/>
      <c r="E55" s="20"/>
      <c r="F55" s="20"/>
      <c r="G55" s="20"/>
      <c r="H55" s="21"/>
    </row>
    <row r="56" spans="4:20" ht="16.5" thickBot="1" x14ac:dyDescent="0.3">
      <c r="D56" s="71" t="s">
        <v>23</v>
      </c>
      <c r="E56" s="59" t="s">
        <v>27</v>
      </c>
      <c r="F56" s="60" t="s">
        <v>41</v>
      </c>
      <c r="G56" s="60" t="s">
        <v>31</v>
      </c>
      <c r="H56" s="61" t="s">
        <v>32</v>
      </c>
    </row>
    <row r="57" spans="4:20" x14ac:dyDescent="0.2">
      <c r="D57" s="68">
        <f>E28</f>
        <v>0.06</v>
      </c>
      <c r="E57" s="69">
        <f>(3.14*$F$6*((E28^2)-($F$4^2)))</f>
        <v>3.4539999999999983E-3</v>
      </c>
      <c r="F57" s="69">
        <f>(E57*$F$10)</f>
        <v>27.631999999999987</v>
      </c>
      <c r="G57" s="69">
        <f>(H28*$F$12*$F$11)</f>
        <v>12648071.026543926</v>
      </c>
      <c r="H57" s="70">
        <f>F57+G57</f>
        <v>12648098.658543926</v>
      </c>
    </row>
    <row r="58" spans="4:20" x14ac:dyDescent="0.2">
      <c r="D58" s="66">
        <f t="shared" ref="D58:D66" si="1">E29</f>
        <v>6.5000000000000002E-2</v>
      </c>
      <c r="E58" s="62">
        <f t="shared" ref="E58:E68" si="2">(3.14*$F$6*((E29^2)-($F$4^2)))</f>
        <v>5.4165000000000003E-3</v>
      </c>
      <c r="F58" s="62">
        <f t="shared" ref="F58:F68" si="3">(E58*$F$10)</f>
        <v>43.332000000000001</v>
      </c>
      <c r="G58" s="62">
        <f t="shared" ref="G58:G68" si="4">(H29*$F$12*$F$11)</f>
        <v>8789367.7314645629</v>
      </c>
      <c r="H58" s="63">
        <f t="shared" ref="H58:H68" si="5">F58+G58</f>
        <v>8789411.0634645633</v>
      </c>
    </row>
    <row r="59" spans="4:20" x14ac:dyDescent="0.2">
      <c r="D59" s="66">
        <f t="shared" si="1"/>
        <v>7.0000000000000007E-2</v>
      </c>
      <c r="E59" s="62">
        <f t="shared" si="2"/>
        <v>7.536000000000001E-3</v>
      </c>
      <c r="F59" s="62">
        <f t="shared" si="3"/>
        <v>60.288000000000011</v>
      </c>
      <c r="G59" s="62">
        <f t="shared" si="4"/>
        <v>6853510.4802599829</v>
      </c>
      <c r="H59" s="63">
        <f t="shared" si="5"/>
        <v>6853570.7682599826</v>
      </c>
    </row>
    <row r="60" spans="4:20" x14ac:dyDescent="0.2">
      <c r="D60" s="66">
        <f t="shared" si="1"/>
        <v>7.4999999999999997E-2</v>
      </c>
      <c r="E60" s="62">
        <f t="shared" si="2"/>
        <v>9.8124999999999983E-3</v>
      </c>
      <c r="F60" s="62">
        <f t="shared" si="3"/>
        <v>78.499999999999986</v>
      </c>
      <c r="G60" s="62">
        <f t="shared" si="4"/>
        <v>5687335.2450954523</v>
      </c>
      <c r="H60" s="63">
        <f t="shared" si="5"/>
        <v>5687413.7450954523</v>
      </c>
    </row>
    <row r="61" spans="4:20" x14ac:dyDescent="0.2">
      <c r="D61" s="66">
        <f t="shared" si="1"/>
        <v>0.08</v>
      </c>
      <c r="E61" s="62">
        <f t="shared" si="2"/>
        <v>1.2246E-2</v>
      </c>
      <c r="F61" s="62">
        <f t="shared" si="3"/>
        <v>97.968000000000004</v>
      </c>
      <c r="G61" s="62">
        <f t="shared" si="4"/>
        <v>4906379.1352009512</v>
      </c>
      <c r="H61" s="63">
        <f t="shared" si="5"/>
        <v>4906477.1032009516</v>
      </c>
    </row>
    <row r="62" spans="4:20" x14ac:dyDescent="0.2">
      <c r="D62" s="66">
        <f t="shared" si="1"/>
        <v>8.5000000000000006E-2</v>
      </c>
      <c r="E62" s="62">
        <f t="shared" si="2"/>
        <v>1.4836500000000004E-2</v>
      </c>
      <c r="F62" s="62">
        <f t="shared" si="3"/>
        <v>118.69200000000004</v>
      </c>
      <c r="G62" s="62">
        <f t="shared" si="4"/>
        <v>4345822.1370309573</v>
      </c>
      <c r="H62" s="63">
        <f t="shared" si="5"/>
        <v>4345940.8290309571</v>
      </c>
    </row>
    <row r="63" spans="4:20" x14ac:dyDescent="0.2">
      <c r="D63" s="66">
        <f t="shared" si="1"/>
        <v>0.09</v>
      </c>
      <c r="E63" s="62">
        <f t="shared" si="2"/>
        <v>1.7583999999999999E-2</v>
      </c>
      <c r="F63" s="62">
        <f t="shared" si="3"/>
        <v>140.672</v>
      </c>
      <c r="G63" s="62">
        <f t="shared" si="4"/>
        <v>3923219.3203702727</v>
      </c>
      <c r="H63" s="63">
        <f t="shared" si="5"/>
        <v>3923359.9923702725</v>
      </c>
    </row>
    <row r="64" spans="4:20" x14ac:dyDescent="0.2">
      <c r="D64" s="66">
        <f t="shared" si="1"/>
        <v>9.5000000000000001E-2</v>
      </c>
      <c r="E64" s="62">
        <f t="shared" si="2"/>
        <v>2.04885E-2</v>
      </c>
      <c r="F64" s="62">
        <f t="shared" si="3"/>
        <v>163.90799999999999</v>
      </c>
      <c r="G64" s="62">
        <f t="shared" si="4"/>
        <v>3592742.9118667524</v>
      </c>
      <c r="H64" s="63">
        <f t="shared" si="5"/>
        <v>3592906.8198667523</v>
      </c>
    </row>
    <row r="65" spans="4:8" x14ac:dyDescent="0.2">
      <c r="D65" s="66">
        <f t="shared" si="1"/>
        <v>0.1</v>
      </c>
      <c r="E65" s="62">
        <f t="shared" si="2"/>
        <v>2.3550000000000005E-2</v>
      </c>
      <c r="F65" s="62">
        <f t="shared" si="3"/>
        <v>188.40000000000003</v>
      </c>
      <c r="G65" s="62">
        <f t="shared" si="4"/>
        <v>3326877.8474106048</v>
      </c>
      <c r="H65" s="63">
        <f t="shared" si="5"/>
        <v>3327066.2474106047</v>
      </c>
    </row>
    <row r="66" spans="4:8" ht="15" thickBot="1" x14ac:dyDescent="0.25">
      <c r="D66" s="67">
        <f t="shared" si="1"/>
        <v>0.105</v>
      </c>
      <c r="E66" s="64">
        <f t="shared" si="2"/>
        <v>2.6768499999999994E-2</v>
      </c>
      <c r="F66" s="64">
        <f t="shared" si="3"/>
        <v>214.14799999999994</v>
      </c>
      <c r="G66" s="64">
        <f t="shared" si="4"/>
        <v>3108100.7262697136</v>
      </c>
      <c r="H66" s="65">
        <f t="shared" si="5"/>
        <v>3108314.8742697136</v>
      </c>
    </row>
    <row r="67" spans="4:8" x14ac:dyDescent="0.2">
      <c r="E67" s="58"/>
      <c r="F67" s="58"/>
      <c r="G67" s="58"/>
      <c r="H67" s="58"/>
    </row>
    <row r="68" spans="4:8" x14ac:dyDescent="0.2">
      <c r="E68" s="58"/>
      <c r="F68" s="58"/>
      <c r="G68" s="58"/>
      <c r="H68" s="58"/>
    </row>
  </sheetData>
  <mergeCells count="16">
    <mergeCell ref="D54:H54"/>
    <mergeCell ref="N51:T51"/>
    <mergeCell ref="E42:G42"/>
    <mergeCell ref="H42:J42"/>
    <mergeCell ref="E46:J47"/>
    <mergeCell ref="E48:J48"/>
    <mergeCell ref="M24:T24"/>
    <mergeCell ref="E23:J23"/>
    <mergeCell ref="G25:J25"/>
    <mergeCell ref="E25:F25"/>
    <mergeCell ref="G27:J27"/>
    <mergeCell ref="E40:J40"/>
    <mergeCell ref="H1:R4"/>
    <mergeCell ref="E17:H17"/>
    <mergeCell ref="I17:L17"/>
    <mergeCell ref="E15:L15"/>
  </mergeCells>
  <printOptions horizontalCentered="1" verticalCentered="1"/>
  <pageMargins left="0" right="0" top="0" bottom="0" header="0.31496062992125984" footer="0"/>
  <pageSetup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kavinraja chakravarthy E</dc:creator>
  <cp:lastModifiedBy>kavinraja chakravarthy E</cp:lastModifiedBy>
  <cp:lastPrinted>2025-12-31T12:50:40Z</cp:lastPrinted>
  <dcterms:created xsi:type="dcterms:W3CDTF">2025-12-31T10:17:02Z</dcterms:created>
  <dcterms:modified xsi:type="dcterms:W3CDTF">2025-12-31T13:04:06Z</dcterms:modified>
</cp:coreProperties>
</file>